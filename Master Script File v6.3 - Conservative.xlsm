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dir2k\Documents\Arslan\Excel\Fiverr\nikolaykartalov\Order 6 - Amazon Update\"/>
    </mc:Choice>
  </mc:AlternateContent>
  <xr:revisionPtr revIDLastSave="0" documentId="13_ncr:1_{C21BEA96-2C13-410C-94DD-A8734125D2E0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Yesterday" sheetId="1" r:id="rId1"/>
    <sheet name="60 Days" sheetId="2" r:id="rId2"/>
    <sheet name="Final" sheetId="3" r:id="rId3"/>
    <sheet name="Dashboard" sheetId="4" r:id="rId4"/>
    <sheet name="Y_SP" sheetId="5" r:id="rId5"/>
    <sheet name="Y_SB" sheetId="6" r:id="rId6"/>
    <sheet name="Y_SD" sheetId="7" r:id="rId7"/>
    <sheet name="60_SP" sheetId="8" r:id="rId8"/>
    <sheet name="60_SB" sheetId="9" r:id="rId9"/>
    <sheet name="60_SD" sheetId="10" r:id="rId10"/>
  </sheets>
  <functionGroups builtInGroupCount="19"/>
  <definedNames>
    <definedName name="_xlnm._FilterDatabase" localSheetId="1" hidden="1">'60 Days'!$A$1:$AX$3883</definedName>
    <definedName name="_xlnm._FilterDatabase" localSheetId="8" hidden="1">'60_SB'!$A$1:$AX$23215</definedName>
    <definedName name="_xlnm._FilterDatabase" localSheetId="9" hidden="1">'60_SD'!$A$1:$AO$29</definedName>
    <definedName name="_xlnm._FilterDatabase" localSheetId="7" hidden="1">'60_SP'!$A$1:$AR$10362</definedName>
    <definedName name="_xlnm._FilterDatabase" localSheetId="2" hidden="1">Final!$A$1:$ACF$589</definedName>
    <definedName name="_xlnm._FilterDatabase" localSheetId="5" hidden="1">Y_SB!$A$1:$AX$19657</definedName>
    <definedName name="_xlnm._FilterDatabase" localSheetId="6" hidden="1">Y_SD!$A$1:$AO$29</definedName>
    <definedName name="_xlnm._FilterDatabase" localSheetId="4" hidden="1">Y_SP!$A$1:$AR$4419</definedName>
    <definedName name="_xlnm._FilterDatabase" localSheetId="0" hidden="1">Yesterday!$A$1:$AX$3301</definedName>
    <definedName name="regg1">Dashboard!$A$1:$B$7,Dashboard!$C$1:$P$2,Dashboard!$C$5:$M$5,Dashboard!$N$3:$P$7,Dashboard!$C$9:$F$10,Dashboard!$H$10:$K$10,Dashboard!$H$16:$I$19</definedName>
    <definedName name="regg2">Dashboard!$A$9:$B$25,Dashboard!$C$11:$D$25,Dashboard!$E$11:$F$21,Dashboard!$E$23:$F$25,Dashboard!$G$9:$G$25,Dashboard!$H$9:$K$9,Dashboard!$H$12:$K$14,Dashboard!$H$20:$K$25,Dashboard!$L$9:$P$25</definedName>
    <definedName name="Regg3">Dashboard!$A$8:$P$8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1" i="4" l="1"/>
  <c r="AJ22" i="4" s="1"/>
  <c r="AI1" i="4"/>
  <c r="AI22" i="4" s="1"/>
  <c r="AH1" i="4"/>
  <c r="AH22" i="4" s="1"/>
  <c r="AG1" i="4"/>
  <c r="AG22" i="4" s="1"/>
  <c r="AF1" i="4"/>
  <c r="AF22" i="4" s="1"/>
  <c r="AE1" i="4"/>
  <c r="AE22" i="4" s="1"/>
  <c r="AD1" i="4"/>
  <c r="AD22" i="4" s="1"/>
  <c r="AC1" i="4"/>
  <c r="AC22" i="4" s="1"/>
  <c r="AY22" i="4" l="1"/>
  <c r="AQ22" i="4"/>
  <c r="BG22" i="4" s="1"/>
  <c r="AS22" i="4"/>
  <c r="AK22" i="4"/>
  <c r="BA22" i="4" s="1"/>
  <c r="AW22" i="4"/>
  <c r="AO22" i="4"/>
  <c r="BE22" i="4" s="1"/>
  <c r="AT22" i="4"/>
  <c r="AL22" i="4"/>
  <c r="BB22" i="4" s="1"/>
  <c r="AX22" i="4"/>
  <c r="AP22" i="4"/>
  <c r="BF22" i="4" s="1"/>
  <c r="AU22" i="4"/>
  <c r="AM22" i="4"/>
  <c r="BC22" i="4" s="1"/>
  <c r="AV22" i="4"/>
  <c r="AN22" i="4"/>
  <c r="BD22" i="4" s="1"/>
  <c r="AZ22" i="4"/>
  <c r="AR22" i="4"/>
  <c r="BH22" i="4" s="1"/>
  <c r="C24" i="4" l="1"/>
</calcChain>
</file>

<file path=xl/sharedStrings.xml><?xml version="1.0" encoding="utf-8"?>
<sst xmlns="http://schemas.openxmlformats.org/spreadsheetml/2006/main" count="69" uniqueCount="37">
  <si>
    <t>FROM</t>
  </si>
  <si>
    <t>TO</t>
  </si>
  <si>
    <t>BY %</t>
  </si>
  <si>
    <t>BY AMT</t>
  </si>
  <si>
    <t>Above</t>
  </si>
  <si>
    <t>Bid Decrese</t>
  </si>
  <si>
    <t>Bid Decrese By</t>
  </si>
  <si>
    <t>Least Impressions</t>
  </si>
  <si>
    <t>Exclusions</t>
  </si>
  <si>
    <t>60 Days Clicks Less Then</t>
  </si>
  <si>
    <t>60 Days ACOS</t>
  </si>
  <si>
    <t>Yesterday ACOS</t>
  </si>
  <si>
    <t>Minimum Bid</t>
  </si>
  <si>
    <t>Settings:</t>
  </si>
  <si>
    <t>THEME MANAGER</t>
  </si>
  <si>
    <t>TEXT</t>
  </si>
  <si>
    <t>Manual</t>
  </si>
  <si>
    <t>Auto</t>
  </si>
  <si>
    <t>Video</t>
  </si>
  <si>
    <t>Headline</t>
  </si>
  <si>
    <t>ASIN SD</t>
  </si>
  <si>
    <t>ASIN Video</t>
  </si>
  <si>
    <t>ASIN Headline</t>
  </si>
  <si>
    <t>ASIN SP</t>
  </si>
  <si>
    <t>Header Color</t>
  </si>
  <si>
    <t>Mid Color</t>
  </si>
  <si>
    <t>Bottom Color</t>
  </si>
  <si>
    <t>By Amount</t>
  </si>
  <si>
    <t>By Percentage</t>
  </si>
  <si>
    <t>Yesterday ACOS From</t>
  </si>
  <si>
    <t>Yesterday ACOS To</t>
  </si>
  <si>
    <t>60 Days ACOS From</t>
  </si>
  <si>
    <t>60 Days ACOS To</t>
  </si>
  <si>
    <t>BY Percentage</t>
  </si>
  <si>
    <t>Yesterday 0 Clicks</t>
  </si>
  <si>
    <t>Yes</t>
  </si>
  <si>
    <t>Rectangle 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</si>
</sst>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-0.499984740745262"/>
        <bgColor indexed="64"/>
      </patternFill>
    </fill>
    <fill>
      <gradientFill degree="90">
        <stop position="0">
          <color theme="7" tint="-0.49803155613879818"/>
        </stop>
        <stop position="1">
          <color theme="7" tint="0.59999389629810485"/>
        </stop>
      </gradientFill>
    </fill>
    <fill>
      <patternFill patternType="solid">
        <fgColor theme="7" tint="0.599963377788628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270">
        <stop position="0">
          <color theme="5" tint="0.59999389629810485"/>
        </stop>
        <stop position="1">
          <color theme="5" tint="-0.49803155613879818"/>
        </stop>
      </gradientFill>
    </fill>
    <fill>
      <patternFill patternType="solid">
        <fgColor theme="3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gradientFill degree="90">
        <stop position="0">
          <color rgb="FFC00000"/>
        </stop>
        <stop position="1">
          <color rgb="FFFFC000"/>
        </stop>
      </gradientFill>
    </fill>
    <fill>
      <gradientFill degree="270">
        <stop position="0">
          <color theme="3" tint="0.80001220740379042"/>
        </stop>
        <stop position="1">
          <color theme="2" tint="-0.89803765984069339"/>
        </stop>
      </gradient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gradientFill degree="90">
        <stop position="0">
          <color theme="9" tint="-0.49803155613879818"/>
        </stop>
        <stop position="1">
          <color theme="9" tint="0.59999389629810485"/>
        </stop>
      </gradient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gradientFill degree="90">
        <stop position="0">
          <color rgb="FF002060"/>
        </stop>
        <stop position="1">
          <color theme="4" tint="0.40000610370189521"/>
        </stop>
      </gradientFill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1" tint="0.34900967436750391"/>
        </stop>
        <stop position="1">
          <color theme="0" tint="-0.34900967436750391"/>
        </stop>
      </gradientFill>
    </fill>
    <fill>
      <gradientFill degree="90">
        <stop position="0">
          <color theme="9" tint="-0.49803155613879818"/>
        </stop>
        <stop position="1">
          <color theme="7"/>
        </stop>
      </gradientFill>
    </fill>
    <fill>
      <patternFill patternType="solid">
        <fgColor theme="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375623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0" borderId="1" xfId="0" applyBorder="1" applyAlignment="1">
      <alignment horizontal="center" vertical="center"/>
    </xf>
    <xf numFmtId="0" fontId="5" fillId="3" borderId="2" xfId="0" applyFont="1" applyFill="1" applyBorder="1"/>
    <xf numFmtId="0" fontId="0" fillId="3" borderId="3" xfId="0" applyFill="1" applyBorder="1"/>
    <xf numFmtId="0" fontId="0" fillId="3" borderId="4" xfId="0" applyFill="1" applyBorder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7" fillId="0" borderId="0" xfId="0" applyFont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0" borderId="6" xfId="0" applyBorder="1"/>
    <xf numFmtId="0" fontId="0" fillId="0" borderId="1" xfId="0" applyBorder="1"/>
    <xf numFmtId="0" fontId="0" fillId="0" borderId="2" xfId="0" applyBorder="1"/>
    <xf numFmtId="0" fontId="0" fillId="0" borderId="7" xfId="0" applyBorder="1" applyAlignment="1">
      <alignment horizontal="center" vertical="center"/>
    </xf>
    <xf numFmtId="0" fontId="0" fillId="27" borderId="8" xfId="0" applyFill="1" applyBorder="1" applyAlignment="1">
      <alignment horizontal="center" vertical="center"/>
    </xf>
    <xf numFmtId="0" fontId="0" fillId="27" borderId="9" xfId="0" applyFill="1" applyBorder="1" applyAlignment="1">
      <alignment horizontal="center" vertical="center"/>
    </xf>
    <xf numFmtId="0" fontId="0" fillId="27" borderId="10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7" borderId="11" xfId="0" applyFill="1" applyBorder="1" applyAlignment="1">
      <alignment horizontal="center" vertical="center"/>
    </xf>
    <xf numFmtId="0" fontId="0" fillId="27" borderId="12" xfId="0" applyFill="1" applyBorder="1" applyAlignment="1">
      <alignment horizontal="center" vertical="center"/>
    </xf>
    <xf numFmtId="0" fontId="0" fillId="27" borderId="13" xfId="0" applyFill="1" applyBorder="1" applyAlignment="1">
      <alignment horizontal="center" vertical="center"/>
    </xf>
    <xf numFmtId="0" fontId="0" fillId="27" borderId="1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7" borderId="16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1" xfId="0" applyBorder="1"/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4" xfId="0" applyBorder="1"/>
    <xf numFmtId="0" fontId="0" fillId="29" borderId="0" xfId="0" applyFill="1"/>
    <xf numFmtId="0" fontId="1" fillId="29" borderId="5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2" fillId="11" borderId="0" xfId="0" applyFont="1" applyFill="1"/>
    <xf numFmtId="0" fontId="4" fillId="11" borderId="0" xfId="0" applyFont="1" applyFill="1"/>
    <xf numFmtId="0" fontId="5" fillId="11" borderId="0" xfId="0" applyFont="1" applyFill="1"/>
    <xf numFmtId="0" fontId="5" fillId="26" borderId="18" xfId="0" applyFont="1" applyFill="1" applyBorder="1" applyAlignment="1">
      <alignment horizontal="center"/>
    </xf>
    <xf numFmtId="0" fontId="5" fillId="26" borderId="19" xfId="0" applyFont="1" applyFill="1" applyBorder="1" applyAlignment="1">
      <alignment horizontal="center"/>
    </xf>
    <xf numFmtId="0" fontId="5" fillId="26" borderId="20" xfId="0" applyFont="1" applyFill="1" applyBorder="1" applyAlignment="1">
      <alignment horizontal="center"/>
    </xf>
    <xf numFmtId="0" fontId="5" fillId="28" borderId="18" xfId="0" applyFont="1" applyFill="1" applyBorder="1" applyAlignment="1">
      <alignment horizontal="center"/>
    </xf>
    <xf numFmtId="0" fontId="5" fillId="28" borderId="19" xfId="0" applyFont="1" applyFill="1" applyBorder="1" applyAlignment="1">
      <alignment horizontal="center"/>
    </xf>
    <xf numFmtId="0" fontId="5" fillId="28" borderId="20" xfId="0" applyFont="1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5" fillId="26" borderId="25" xfId="0" applyFont="1" applyFill="1" applyBorder="1" applyAlignment="1">
      <alignment horizontal="center"/>
    </xf>
    <xf numFmtId="0" fontId="5" fillId="26" borderId="26" xfId="0" applyFont="1" applyFill="1" applyBorder="1" applyAlignment="1">
      <alignment horizontal="center"/>
    </xf>
    <xf numFmtId="0" fontId="5" fillId="26" borderId="27" xfId="0" applyFont="1" applyFill="1" applyBorder="1" applyAlignment="1">
      <alignment horizontal="center"/>
    </xf>
    <xf numFmtId="0" fontId="5" fillId="28" borderId="23" xfId="0" applyFont="1" applyFill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2" borderId="2" xfId="0" applyFill="1" applyBorder="1" applyAlignment="1">
      <alignment horizontal="right"/>
    </xf>
    <xf numFmtId="0" fontId="0" fillId="2" borderId="3" xfId="0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0" fontId="3" fillId="29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29" borderId="1" xfId="0" applyFont="1" applyFill="1" applyBorder="1" applyAlignment="1">
      <alignment horizontal="center"/>
    </xf>
  </cellXfs>
  <cellStyles count="1">
    <cellStyle name="Normal" xfId="0" builtinId="0"/>
  </cellStyles>
  <dxfs count="2">
    <dxf>
      <fill>
        <patternFill patternType="none">
          <bgColor auto="1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FFCCFF"/>
      <color rgb="FFFF00FF"/>
      <color rgb="FFE3C1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91440</xdr:colOff>
      <xdr:row>20</xdr:row>
      <xdr:rowOff>41238</xdr:rowOff>
    </xdr:from>
    <xdr:to>
      <xdr:col>15</xdr:col>
      <xdr:colOff>533400</xdr:colOff>
      <xdr:row>23</xdr:row>
      <xdr:rowOff>30032</xdr:rowOff>
    </xdr:to>
    <xdr:sp macro="[0]!Final_Mast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016240" y="4800600"/>
          <a:ext cx="1661160" cy="54864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RUN</a:t>
          </a:r>
          <a:r>
            <a:rPr lang="en-US" sz="1600" b="1" baseline="0"/>
            <a:t> SCRIPT</a:t>
          </a:r>
        </a:p>
      </xdr:txBody>
    </xdr:sp>
    <xdr:clientData fPrintsWithSheet="0"/>
  </xdr:twoCellAnchor>
  <xdr:twoCellAnchor editAs="absolute">
    <xdr:from>
      <xdr:col>13</xdr:col>
      <xdr:colOff>91440</xdr:colOff>
      <xdr:row>16</xdr:row>
      <xdr:rowOff>137003</xdr:rowOff>
    </xdr:from>
    <xdr:to>
      <xdr:col>15</xdr:col>
      <xdr:colOff>533400</xdr:colOff>
      <xdr:row>19</xdr:row>
      <xdr:rowOff>144623</xdr:rowOff>
    </xdr:to>
    <xdr:sp macro="[0]!Batch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8016240" y="4176051"/>
          <a:ext cx="1661160" cy="548640"/>
        </a:xfrm>
        <a:prstGeom prst="rect">
          <a:avLst/>
        </a:prstGeom>
        <a:solidFill>
          <a:srgbClr val="C00032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/>
            <a:t>BATCH SCRIPTS</a:t>
          </a:r>
        </a:p>
      </xdr:txBody>
    </xdr:sp>
    <xdr:clientData fPrintsWithSheet="0"/>
  </xdr:twoCellAnchor>
  <xdr:twoCellAnchor editAs="absolute">
    <xdr:from>
      <xdr:col>13</xdr:col>
      <xdr:colOff>91440</xdr:colOff>
      <xdr:row>1</xdr:row>
      <xdr:rowOff>68580</xdr:rowOff>
    </xdr:from>
    <xdr:to>
      <xdr:col>15</xdr:col>
      <xdr:colOff>533400</xdr:colOff>
      <xdr:row>4</xdr:row>
      <xdr:rowOff>96819</xdr:rowOff>
    </xdr:to>
    <xdr:sp macro="[0]!Opn_Final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8016240" y="1478280"/>
          <a:ext cx="1661160" cy="54864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/>
            <a:t>BROWSE</a:t>
          </a:r>
          <a:endParaRPr lang="en-US" sz="1600" b="0" baseline="0"/>
        </a:p>
        <a:p>
          <a:pPr algn="ctr"/>
          <a:r>
            <a:rPr lang="en-US" sz="1200" b="0" baseline="0"/>
            <a:t>Yesterday file</a:t>
          </a:r>
          <a:endParaRPr lang="en-US" sz="1600" b="0" baseline="0"/>
        </a:p>
      </xdr:txBody>
    </xdr:sp>
    <xdr:clientData fPrintsWithSheet="0"/>
  </xdr:twoCellAnchor>
  <xdr:twoCellAnchor editAs="absolute">
    <xdr:from>
      <xdr:col>13</xdr:col>
      <xdr:colOff>91440</xdr:colOff>
      <xdr:row>4</xdr:row>
      <xdr:rowOff>142829</xdr:rowOff>
    </xdr:from>
    <xdr:to>
      <xdr:col>15</xdr:col>
      <xdr:colOff>533400</xdr:colOff>
      <xdr:row>7</xdr:row>
      <xdr:rowOff>169722</xdr:rowOff>
    </xdr:to>
    <xdr:sp macro="[0]!Opn_Final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8016240" y="2072930"/>
          <a:ext cx="1661160" cy="54864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BROWSE</a:t>
          </a:r>
          <a:endParaRPr lang="en-US" sz="1600">
            <a:effectLst/>
          </a:endParaRPr>
        </a:p>
        <a:p>
          <a:pPr algn="ctr"/>
          <a:r>
            <a:rPr lang="en-US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60 Days file</a:t>
          </a:r>
          <a:endParaRPr lang="en-US" sz="1600">
            <a:effectLst/>
          </a:endParaRPr>
        </a:p>
      </xdr:txBody>
    </xdr:sp>
    <xdr:clientData fPrintsWithSheet="0"/>
  </xdr:twoCellAnchor>
  <xdr:oneCellAnchor>
    <xdr:from>
      <xdr:col>6</xdr:col>
      <xdr:colOff>172553</xdr:colOff>
      <xdr:row>0</xdr:row>
      <xdr:rowOff>49345</xdr:rowOff>
    </xdr:from>
    <xdr:ext cx="1979003" cy="689795"/>
    <xdr:sp macro="" textlink="$R$11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395813" y="49345"/>
          <a:ext cx="1979003" cy="68979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fld id="{9FCC0AB0-8461-4853-A8F5-0B03B8116202}" type="TxLink">
            <a:rPr lang="en-US" sz="4400" b="1" cap="none" spc="0">
              <a:ln w="1905"/>
              <a:solidFill>
                <a:schemeClr val="bg1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pPr algn="ctr"/>
            <a:t>ASIN SP</a:t>
          </a:fld>
          <a:endParaRPr lang="en-US" sz="4400" b="1" cap="none" spc="0">
            <a:ln w="1905"/>
            <a:solidFill>
              <a:schemeClr val="bg1"/>
            </a:solidFill>
            <a:effectLst>
              <a:innerShdw blurRad="69850" dist="43180" dir="5400000">
                <a:srgbClr val="000000">
                  <a:alpha val="65000"/>
                </a:srgbClr>
              </a:innerShdw>
            </a:effectLst>
          </a:endParaRPr>
        </a:p>
      </xdr:txBody>
    </xdr:sp>
    <xdr:clientData/>
  </xdr:oneCellAnchor>
  <xdr:twoCellAnchor>
    <xdr:from>
      <xdr:col>2</xdr:col>
      <xdr:colOff>22860</xdr:colOff>
      <xdr:row>0</xdr:row>
      <xdr:rowOff>777240</xdr:rowOff>
    </xdr:from>
    <xdr:to>
      <xdr:col>4</xdr:col>
      <xdr:colOff>510540</xdr:colOff>
      <xdr:row>0</xdr:row>
      <xdr:rowOff>1082040</xdr:rowOff>
    </xdr:to>
    <xdr:sp macro="[0]!Master" textlink="">
      <xdr:nvSpPr>
        <xdr:cNvPr id="9" name="Rectangle 19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899160" y="777240"/>
          <a:ext cx="1661160" cy="304800"/>
        </a:xfrm>
        <a:prstGeom prst="rect">
          <a:avLst/>
        </a:prstGeom>
        <a:solidFill>
          <a:srgbClr val="C0C028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/>
            <a:t>Manual</a:t>
          </a:r>
        </a:p>
      </xdr:txBody>
    </xdr:sp>
    <xdr:clientData fPrintsWithSheet="0"/>
  </xdr:twoCellAnchor>
  <xdr:twoCellAnchor>
    <xdr:from>
      <xdr:col>4</xdr:col>
      <xdr:colOff>579120</xdr:colOff>
      <xdr:row>0</xdr:row>
      <xdr:rowOff>777240</xdr:rowOff>
    </xdr:from>
    <xdr:to>
      <xdr:col>7</xdr:col>
      <xdr:colOff>480060</xdr:colOff>
      <xdr:row>0</xdr:row>
      <xdr:rowOff>1082040</xdr:rowOff>
    </xdr:to>
    <xdr:sp macro="[0]!Master" textlink="">
      <xdr:nvSpPr>
        <xdr:cNvPr id="10" name="Rectangle 20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628900" y="777240"/>
          <a:ext cx="1661160" cy="304800"/>
        </a:xfrm>
        <a:prstGeom prst="rect">
          <a:avLst/>
        </a:prstGeom>
        <a:solidFill>
          <a:srgbClr val="C00032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/>
            <a:t>Auto</a:t>
          </a:r>
        </a:p>
      </xdr:txBody>
    </xdr:sp>
    <xdr:clientData fPrintsWithSheet="0"/>
  </xdr:twoCellAnchor>
  <xdr:twoCellAnchor>
    <xdr:from>
      <xdr:col>7</xdr:col>
      <xdr:colOff>548640</xdr:colOff>
      <xdr:row>0</xdr:row>
      <xdr:rowOff>777240</xdr:rowOff>
    </xdr:from>
    <xdr:to>
      <xdr:col>10</xdr:col>
      <xdr:colOff>129540</xdr:colOff>
      <xdr:row>0</xdr:row>
      <xdr:rowOff>1082040</xdr:rowOff>
    </xdr:to>
    <xdr:sp macro="[0]!Master" textlink="">
      <xdr:nvSpPr>
        <xdr:cNvPr id="11" name="Rectangle 21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4358640" y="777240"/>
          <a:ext cx="1661160" cy="304800"/>
        </a:xfrm>
        <a:prstGeom prst="rect">
          <a:avLst/>
        </a:prstGeom>
        <a:solidFill>
          <a:srgbClr val="C00032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/>
            <a:t>Video</a:t>
          </a:r>
        </a:p>
      </xdr:txBody>
    </xdr:sp>
    <xdr:clientData fPrintsWithSheet="0"/>
  </xdr:twoCellAnchor>
  <xdr:twoCellAnchor>
    <xdr:from>
      <xdr:col>10</xdr:col>
      <xdr:colOff>198120</xdr:colOff>
      <xdr:row>0</xdr:row>
      <xdr:rowOff>777240</xdr:rowOff>
    </xdr:from>
    <xdr:to>
      <xdr:col>12</xdr:col>
      <xdr:colOff>685800</xdr:colOff>
      <xdr:row>0</xdr:row>
      <xdr:rowOff>1082040</xdr:rowOff>
    </xdr:to>
    <xdr:sp macro="[0]!Master" textlink="">
      <xdr:nvSpPr>
        <xdr:cNvPr id="12" name="Rectangle 22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6088380" y="777240"/>
          <a:ext cx="1661160" cy="304800"/>
        </a:xfrm>
        <a:prstGeom prst="rect">
          <a:avLst/>
        </a:prstGeom>
        <a:solidFill>
          <a:srgbClr val="C00032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/>
            <a:t>Headline</a:t>
          </a:r>
        </a:p>
      </xdr:txBody>
    </xdr:sp>
    <xdr:clientData fPrintsWithSheet="0"/>
  </xdr:twoCellAnchor>
  <xdr:twoCellAnchor>
    <xdr:from>
      <xdr:col>2</xdr:col>
      <xdr:colOff>22860</xdr:colOff>
      <xdr:row>0</xdr:row>
      <xdr:rowOff>1158240</xdr:rowOff>
    </xdr:from>
    <xdr:to>
      <xdr:col>4</xdr:col>
      <xdr:colOff>510540</xdr:colOff>
      <xdr:row>1</xdr:row>
      <xdr:rowOff>53340</xdr:rowOff>
    </xdr:to>
    <xdr:sp macro="[0]!Master" textlink="">
      <xdr:nvSpPr>
        <xdr:cNvPr id="21" name="Rectangle 23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899160" y="1158240"/>
          <a:ext cx="1661160" cy="304800"/>
        </a:xfrm>
        <a:prstGeom prst="rect">
          <a:avLst/>
        </a:prstGeom>
        <a:solidFill>
          <a:srgbClr val="C00032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/>
            <a:t>Asin SD</a:t>
          </a:r>
        </a:p>
      </xdr:txBody>
    </xdr:sp>
    <xdr:clientData fPrintsWithSheet="0"/>
  </xdr:twoCellAnchor>
  <xdr:twoCellAnchor>
    <xdr:from>
      <xdr:col>4</xdr:col>
      <xdr:colOff>579120</xdr:colOff>
      <xdr:row>0</xdr:row>
      <xdr:rowOff>1158240</xdr:rowOff>
    </xdr:from>
    <xdr:to>
      <xdr:col>7</xdr:col>
      <xdr:colOff>480060</xdr:colOff>
      <xdr:row>1</xdr:row>
      <xdr:rowOff>53340</xdr:rowOff>
    </xdr:to>
    <xdr:sp macro="[0]!Master" textlink="">
      <xdr:nvSpPr>
        <xdr:cNvPr id="22" name="Rectangle 24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2628900" y="1158240"/>
          <a:ext cx="1661160" cy="304800"/>
        </a:xfrm>
        <a:prstGeom prst="rect">
          <a:avLst/>
        </a:prstGeom>
        <a:solidFill>
          <a:srgbClr val="C00032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/>
            <a:t>Asin Video</a:t>
          </a:r>
        </a:p>
      </xdr:txBody>
    </xdr:sp>
    <xdr:clientData fPrintsWithSheet="0"/>
  </xdr:twoCellAnchor>
  <xdr:twoCellAnchor>
    <xdr:from>
      <xdr:col>7</xdr:col>
      <xdr:colOff>548640</xdr:colOff>
      <xdr:row>0</xdr:row>
      <xdr:rowOff>1158240</xdr:rowOff>
    </xdr:from>
    <xdr:to>
      <xdr:col>10</xdr:col>
      <xdr:colOff>129540</xdr:colOff>
      <xdr:row>1</xdr:row>
      <xdr:rowOff>53340</xdr:rowOff>
    </xdr:to>
    <xdr:sp macro="[0]!Master" textlink="">
      <xdr:nvSpPr>
        <xdr:cNvPr id="23" name="Rectangle 25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4358640" y="1158240"/>
          <a:ext cx="1661160" cy="304800"/>
        </a:xfrm>
        <a:prstGeom prst="rect">
          <a:avLst/>
        </a:prstGeom>
        <a:solidFill>
          <a:srgbClr val="C00032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/>
            <a:t>Asin Headline</a:t>
          </a:r>
        </a:p>
      </xdr:txBody>
    </xdr:sp>
    <xdr:clientData fPrintsWithSheet="0"/>
  </xdr:twoCellAnchor>
  <xdr:twoCellAnchor>
    <xdr:from>
      <xdr:col>10</xdr:col>
      <xdr:colOff>198120</xdr:colOff>
      <xdr:row>0</xdr:row>
      <xdr:rowOff>1158240</xdr:rowOff>
    </xdr:from>
    <xdr:to>
      <xdr:col>12</xdr:col>
      <xdr:colOff>685800</xdr:colOff>
      <xdr:row>1</xdr:row>
      <xdr:rowOff>53340</xdr:rowOff>
    </xdr:to>
    <xdr:sp macro="[0]!Master" textlink="">
      <xdr:nvSpPr>
        <xdr:cNvPr id="24" name="Rectangle 26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6088380" y="1158240"/>
          <a:ext cx="1661160" cy="304800"/>
        </a:xfrm>
        <a:prstGeom prst="rect">
          <a:avLst/>
        </a:prstGeom>
        <a:solidFill>
          <a:srgbClr val="C00032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/>
            <a:t>Asin SP</a:t>
          </a:r>
        </a:p>
      </xdr:txBody>
    </xdr:sp>
    <xdr:clientData fPrintsWithSheet="0"/>
  </xdr:twoCellAnchor>
  <xdr:twoCellAnchor>
    <xdr:from>
      <xdr:col>13</xdr:col>
      <xdr:colOff>495300</xdr:colOff>
      <xdr:row>0</xdr:row>
      <xdr:rowOff>129540</xdr:rowOff>
    </xdr:from>
    <xdr:to>
      <xdr:col>15</xdr:col>
      <xdr:colOff>495300</xdr:colOff>
      <xdr:row>0</xdr:row>
      <xdr:rowOff>731520</xdr:rowOff>
    </xdr:to>
    <xdr:sp macro="[0]!thememgr" textlink="">
      <xdr:nvSpPr>
        <xdr:cNvPr id="26" name="Rectangle 26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8420100" y="129540"/>
          <a:ext cx="1219200" cy="601980"/>
        </a:xfrm>
        <a:prstGeom prst="rect">
          <a:avLst/>
        </a:prstGeom>
        <a:solidFill>
          <a:srgbClr val="C00000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/>
            <a:t>Theme Manager</a:t>
          </a:r>
        </a:p>
      </xdr:txBody>
    </xdr:sp>
    <xdr:clientData fPrintsWithSheet="0"/>
  </xdr:twoCellAnchor>
  <xdr:twoCellAnchor>
    <xdr:from>
      <xdr:col>20</xdr:col>
      <xdr:colOff>167640</xdr:colOff>
      <xdr:row>11</xdr:row>
      <xdr:rowOff>160020</xdr:rowOff>
    </xdr:from>
    <xdr:to>
      <xdr:col>22</xdr:col>
      <xdr:colOff>167640</xdr:colOff>
      <xdr:row>15</xdr:row>
      <xdr:rowOff>30480</xdr:rowOff>
    </xdr:to>
    <xdr:sp macro="[0]!Settings" textlink="">
      <xdr:nvSpPr>
        <xdr:cNvPr id="16" name="Rectangle 26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12580620" y="3413760"/>
          <a:ext cx="1219200" cy="601980"/>
        </a:xfrm>
        <a:prstGeom prst="rect">
          <a:avLst/>
        </a:prstGeom>
        <a:solidFill>
          <a:srgbClr val="C00000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/>
            <a:t>Settings</a:t>
          </a:r>
        </a:p>
      </xdr:txBody>
    </xdr:sp>
    <xdr:clientData fPrintsWithSheet="0"/>
  </xdr:twoCellAnchor>
  <xdr:twoCellAnchor editAs="absolute">
    <xdr:from>
      <xdr:col>13</xdr:col>
      <xdr:colOff>91440</xdr:colOff>
      <xdr:row>13</xdr:row>
      <xdr:rowOff>30323</xdr:rowOff>
    </xdr:from>
    <xdr:to>
      <xdr:col>15</xdr:col>
      <xdr:colOff>533400</xdr:colOff>
      <xdr:row>16</xdr:row>
      <xdr:rowOff>37943</xdr:rowOff>
    </xdr:to>
    <xdr:sp macro="[0]!CLR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8023860" y="3649823"/>
          <a:ext cx="1661160" cy="556260"/>
        </a:xfrm>
        <a:prstGeom prst="rect">
          <a:avLst/>
        </a:prstGeom>
        <a:solidFill>
          <a:srgbClr val="92D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/>
            <a:t>CLEAR DATA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00" workbookViewId="0">
      <selection sqref="A1:XFD315"/>
    </sheetView>
  </sheetViews>
  <sheetFormatPr defaultRowHeight="14.5" x14ac:dyDescent="0.35"/>
  <sheetData/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sqref="A1:XFD686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topLeftCell="AI1" zoomScale="130" zoomScaleNormal="130" workbookViewId="0"/>
  </sheetViews>
  <sheetFormatPr defaultRowHeight="14.5" x14ac:dyDescent="0.35"/>
  <cols>
    <col min="521" max="521" width="7" bestFit="1" customWidth="1"/>
    <col min="522" max="522" width="11.54296875" bestFit="1" customWidth="1"/>
  </cols>
  <sheetData/>
  <sortState xmlns:xlrd2="http://schemas.microsoft.com/office/spreadsheetml/2017/richdata2" ref="A2:AR62">
    <sortCondition descending="1" ref="AI1"/>
  </sortState>
  <pageMargins left="0.7" right="0.7" top="0.75" bottom="0.75" header="0.3" footer="0.3"/>
  <pageSetup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H25"/>
  <sheetViews>
    <sheetView tabSelected="1" zoomScaleNormal="100" workbookViewId="0">
      <selection activeCell="C3" sqref="C3:M3"/>
    </sheetView>
  </sheetViews>
  <sheetFormatPr defaultColWidth="0" defaultRowHeight="14.5" zeroHeight="1" x14ac:dyDescent="0.35"/>
  <cols>
    <col min="1" max="1" width="8.54296875" customWidth="1"/>
    <col min="2" max="2" width="4.453125" customWidth="1"/>
    <col min="3" max="7" width="8.54296875" customWidth="1"/>
    <col min="8" max="9" width="10.81640625" customWidth="1"/>
    <col min="10" max="12" width="8.54296875" customWidth="1"/>
    <col min="13" max="13" width="12.54296875" customWidth="1"/>
    <col min="14" max="16" width="8.81640625" customWidth="1"/>
    <col min="17" max="17" width="8.81640625" hidden="1" customWidth="1"/>
    <col min="18" max="18" width="12.1796875" hidden="1" customWidth="1"/>
    <col min="19" max="27" width="8.81640625" hidden="1" customWidth="1"/>
    <col min="28" max="28" width="20.81640625" hidden="1" customWidth="1"/>
    <col min="29" max="29" width="7.1796875" hidden="1" customWidth="1"/>
    <col min="30" max="30" width="4.81640625" hidden="1" customWidth="1"/>
    <col min="31" max="31" width="5.54296875" hidden="1" customWidth="1"/>
    <col min="32" max="32" width="8.1796875" hidden="1" customWidth="1"/>
    <col min="33" max="33" width="7.453125" hidden="1" customWidth="1"/>
    <col min="34" max="34" width="10" hidden="1" customWidth="1"/>
    <col min="35" max="35" width="12.453125" hidden="1" customWidth="1"/>
    <col min="36" max="36" width="7.453125" hidden="1" customWidth="1"/>
    <col min="37" max="60" width="8.81640625" hidden="1" customWidth="1"/>
    <col min="61" max="16384" width="8.81640625" hidden="1"/>
  </cols>
  <sheetData>
    <row r="1" spans="1:60" ht="111" customHeight="1" x14ac:dyDescent="0.35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R1" s="65" t="s">
        <v>14</v>
      </c>
      <c r="S1" s="65"/>
      <c r="T1" s="65"/>
      <c r="U1" s="65"/>
      <c r="V1" s="65"/>
      <c r="W1" s="65"/>
      <c r="X1" s="65"/>
      <c r="Y1" s="65"/>
      <c r="Z1" s="65"/>
      <c r="AA1" s="28"/>
      <c r="AC1" s="37" t="str">
        <f t="shared" ref="AC1:AJ1" si="0">S3</f>
        <v>Manual</v>
      </c>
      <c r="AD1" s="38" t="str">
        <f t="shared" si="0"/>
        <v>Auto</v>
      </c>
      <c r="AE1" s="38" t="str">
        <f t="shared" si="0"/>
        <v>Video</v>
      </c>
      <c r="AF1" s="38" t="str">
        <f t="shared" si="0"/>
        <v>Headline</v>
      </c>
      <c r="AG1" s="38" t="str">
        <f t="shared" si="0"/>
        <v>ASIN SD</v>
      </c>
      <c r="AH1" s="38" t="str">
        <f t="shared" si="0"/>
        <v>ASIN Video</v>
      </c>
      <c r="AI1" s="38" t="str">
        <f t="shared" si="0"/>
        <v>ASIN Headline</v>
      </c>
      <c r="AJ1" s="39" t="str">
        <f t="shared" si="0"/>
        <v>ASIN SP</v>
      </c>
    </row>
    <row r="2" spans="1:60" x14ac:dyDescent="0.35">
      <c r="A2" s="48"/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AA2" s="28"/>
      <c r="AB2" s="29" t="s">
        <v>6</v>
      </c>
      <c r="AC2" s="29" t="s">
        <v>33</v>
      </c>
      <c r="AD2" s="29" t="s">
        <v>27</v>
      </c>
      <c r="AE2" s="29" t="s">
        <v>33</v>
      </c>
      <c r="AF2" s="29" t="s">
        <v>33</v>
      </c>
      <c r="AG2" s="29" t="s">
        <v>33</v>
      </c>
      <c r="AH2" s="29" t="s">
        <v>33</v>
      </c>
      <c r="AI2" s="29" t="s">
        <v>33</v>
      </c>
      <c r="AJ2" s="29" t="s">
        <v>33</v>
      </c>
    </row>
    <row r="3" spans="1:60" x14ac:dyDescent="0.35">
      <c r="A3" s="48"/>
      <c r="B3" s="48"/>
      <c r="C3" s="67"/>
      <c r="D3" s="68"/>
      <c r="E3" s="68"/>
      <c r="F3" s="68"/>
      <c r="G3" s="68"/>
      <c r="H3" s="68"/>
      <c r="I3" s="68"/>
      <c r="J3" s="68"/>
      <c r="K3" s="68"/>
      <c r="L3" s="68"/>
      <c r="M3" s="69"/>
      <c r="N3" s="48"/>
      <c r="O3" s="48"/>
      <c r="P3" s="48"/>
      <c r="R3" t="s">
        <v>15</v>
      </c>
      <c r="S3" t="s">
        <v>16</v>
      </c>
      <c r="T3" t="s">
        <v>17</v>
      </c>
      <c r="U3" t="s">
        <v>18</v>
      </c>
      <c r="V3" t="s">
        <v>19</v>
      </c>
      <c r="W3" t="s">
        <v>20</v>
      </c>
      <c r="X3" t="s">
        <v>21</v>
      </c>
      <c r="Y3" t="s">
        <v>22</v>
      </c>
      <c r="Z3" t="s">
        <v>23</v>
      </c>
      <c r="AA3" s="28"/>
      <c r="AB3" s="30" t="s">
        <v>7</v>
      </c>
      <c r="AC3" s="29">
        <v>1</v>
      </c>
      <c r="AD3" s="29">
        <v>10</v>
      </c>
      <c r="AE3" s="29">
        <v>1</v>
      </c>
      <c r="AF3" s="29">
        <v>1</v>
      </c>
      <c r="AG3" s="29">
        <v>1</v>
      </c>
      <c r="AH3" s="29">
        <v>1</v>
      </c>
      <c r="AI3" s="29">
        <v>1</v>
      </c>
      <c r="AJ3" s="29">
        <v>10</v>
      </c>
    </row>
    <row r="4" spans="1:60" x14ac:dyDescent="0.35">
      <c r="A4" s="48"/>
      <c r="B4" s="48"/>
      <c r="C4" s="70"/>
      <c r="D4" s="71"/>
      <c r="E4" s="71"/>
      <c r="F4" s="71"/>
      <c r="G4" s="71"/>
      <c r="H4" s="71"/>
      <c r="I4" s="71"/>
      <c r="J4" s="71"/>
      <c r="K4" s="71"/>
      <c r="L4" s="71"/>
      <c r="M4" s="72"/>
      <c r="N4" s="48"/>
      <c r="O4" s="48"/>
      <c r="P4" s="48"/>
      <c r="R4" t="s">
        <v>24</v>
      </c>
      <c r="S4" s="18"/>
      <c r="T4" s="5"/>
      <c r="U4" s="24"/>
      <c r="V4" s="8"/>
      <c r="W4" s="21"/>
      <c r="X4" s="11"/>
      <c r="Y4" s="13"/>
      <c r="Z4" s="18"/>
      <c r="AA4" s="28"/>
      <c r="AB4" s="30" t="s">
        <v>12</v>
      </c>
      <c r="AC4" s="29">
        <v>0.03</v>
      </c>
      <c r="AD4" s="29">
        <v>0.03</v>
      </c>
      <c r="AE4" s="29">
        <v>0.25</v>
      </c>
      <c r="AF4" s="29">
        <v>0.1</v>
      </c>
      <c r="AG4" s="29">
        <v>0.03</v>
      </c>
      <c r="AH4" s="29">
        <v>0.25</v>
      </c>
      <c r="AI4" s="29">
        <v>0.1</v>
      </c>
      <c r="AJ4" s="29">
        <v>0.03</v>
      </c>
    </row>
    <row r="5" spans="1:60" x14ac:dyDescent="0.35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R5" t="s">
        <v>25</v>
      </c>
      <c r="S5" s="27"/>
      <c r="T5" s="6"/>
      <c r="U5" s="26"/>
      <c r="V5" s="10"/>
      <c r="W5" s="23"/>
      <c r="X5" s="15"/>
      <c r="Y5" s="14"/>
      <c r="Z5" s="20"/>
      <c r="AA5" s="28"/>
      <c r="AB5" s="30" t="s">
        <v>9</v>
      </c>
      <c r="AC5" s="29">
        <v>5</v>
      </c>
      <c r="AD5" s="29">
        <v>5</v>
      </c>
      <c r="AE5" s="29">
        <v>5</v>
      </c>
      <c r="AF5" s="29">
        <v>7</v>
      </c>
      <c r="AG5" s="29">
        <v>5</v>
      </c>
      <c r="AH5" s="29">
        <v>5</v>
      </c>
      <c r="AI5" s="29">
        <v>7</v>
      </c>
      <c r="AJ5" s="29">
        <v>5</v>
      </c>
    </row>
    <row r="6" spans="1:60" x14ac:dyDescent="0.35">
      <c r="A6" s="48"/>
      <c r="B6" s="48"/>
      <c r="C6" s="67"/>
      <c r="D6" s="68"/>
      <c r="E6" s="68"/>
      <c r="F6" s="68"/>
      <c r="G6" s="68"/>
      <c r="H6" s="68"/>
      <c r="I6" s="68"/>
      <c r="J6" s="68"/>
      <c r="K6" s="68"/>
      <c r="L6" s="68"/>
      <c r="M6" s="69"/>
      <c r="N6" s="48"/>
      <c r="O6" s="48"/>
      <c r="P6" s="48"/>
      <c r="R6" t="s">
        <v>26</v>
      </c>
      <c r="S6" s="12"/>
      <c r="T6" s="7"/>
      <c r="U6" s="25"/>
      <c r="V6" s="9"/>
      <c r="W6" s="22"/>
      <c r="X6" s="16"/>
      <c r="Y6" s="12"/>
      <c r="Z6" s="19"/>
      <c r="AA6" s="28"/>
      <c r="AB6" s="30" t="s">
        <v>29</v>
      </c>
      <c r="AC6" s="29">
        <v>0.01</v>
      </c>
      <c r="AD6" s="29">
        <v>0.01</v>
      </c>
      <c r="AE6" s="29">
        <v>0.01</v>
      </c>
      <c r="AF6" s="29">
        <v>0.01</v>
      </c>
      <c r="AG6" s="29">
        <v>0.01</v>
      </c>
      <c r="AH6" s="29">
        <v>0.01</v>
      </c>
      <c r="AI6" s="29">
        <v>0.01</v>
      </c>
      <c r="AJ6" s="29">
        <v>0.01</v>
      </c>
    </row>
    <row r="7" spans="1:60" x14ac:dyDescent="0.35">
      <c r="A7" s="48"/>
      <c r="B7" s="48"/>
      <c r="C7" s="70"/>
      <c r="D7" s="71"/>
      <c r="E7" s="71"/>
      <c r="F7" s="71"/>
      <c r="G7" s="71"/>
      <c r="H7" s="71"/>
      <c r="I7" s="71"/>
      <c r="J7" s="71"/>
      <c r="K7" s="71"/>
      <c r="L7" s="71"/>
      <c r="M7" s="72"/>
      <c r="N7" s="48"/>
      <c r="O7" s="48"/>
      <c r="P7" s="48"/>
      <c r="AA7" s="28"/>
      <c r="AB7" s="30" t="s">
        <v>30</v>
      </c>
      <c r="AC7" s="29">
        <v>0.02</v>
      </c>
      <c r="AD7" s="29">
        <v>0.02</v>
      </c>
      <c r="AE7" s="29">
        <v>0.02</v>
      </c>
      <c r="AF7" s="29">
        <v>0.02</v>
      </c>
      <c r="AG7" s="29">
        <v>0.02</v>
      </c>
      <c r="AH7" s="29">
        <v>0.02</v>
      </c>
      <c r="AI7" s="29">
        <v>0.02</v>
      </c>
      <c r="AJ7" s="29">
        <v>0.02</v>
      </c>
    </row>
    <row r="8" spans="1:60" x14ac:dyDescent="0.35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AA8" s="28"/>
      <c r="AB8" s="30" t="s">
        <v>31</v>
      </c>
      <c r="AC8" s="29">
        <v>0.01</v>
      </c>
      <c r="AD8" s="29">
        <v>0.01</v>
      </c>
      <c r="AE8" s="29">
        <v>0.01</v>
      </c>
      <c r="AF8" s="29">
        <v>0.01</v>
      </c>
      <c r="AG8" s="29">
        <v>0.01</v>
      </c>
      <c r="AH8" s="29">
        <v>0.01</v>
      </c>
      <c r="AI8" s="29">
        <v>0.01</v>
      </c>
      <c r="AJ8" s="29">
        <v>0.01</v>
      </c>
    </row>
    <row r="9" spans="1:60" x14ac:dyDescent="0.35">
      <c r="A9" s="12"/>
      <c r="B9" s="12"/>
      <c r="C9" s="73" t="s">
        <v>5</v>
      </c>
      <c r="D9" s="73"/>
      <c r="E9" s="73"/>
      <c r="F9" s="73"/>
      <c r="G9" s="12"/>
      <c r="H9" s="53" t="s">
        <v>13</v>
      </c>
      <c r="I9" s="12"/>
      <c r="J9" s="12"/>
      <c r="K9" s="12"/>
      <c r="L9" s="12"/>
      <c r="M9" s="12"/>
      <c r="N9" s="12"/>
      <c r="O9" s="12"/>
      <c r="P9" s="12"/>
      <c r="R9" s="17"/>
      <c r="AA9" s="28"/>
      <c r="AB9" s="47" t="s">
        <v>32</v>
      </c>
      <c r="AC9" s="44">
        <v>39.99</v>
      </c>
      <c r="AD9" s="44">
        <v>39.99</v>
      </c>
      <c r="AE9" s="44">
        <v>34.99</v>
      </c>
      <c r="AF9" s="44">
        <v>39.99</v>
      </c>
      <c r="AG9" s="44">
        <v>39.99</v>
      </c>
      <c r="AH9" s="44">
        <v>34.99</v>
      </c>
      <c r="AI9" s="44">
        <v>34.99</v>
      </c>
      <c r="AJ9" s="44">
        <v>39.99</v>
      </c>
    </row>
    <row r="10" spans="1:60" ht="15" thickBot="1" x14ac:dyDescent="0.4">
      <c r="A10" s="12"/>
      <c r="B10" s="12"/>
      <c r="C10" s="49" t="s">
        <v>0</v>
      </c>
      <c r="D10" s="49" t="s">
        <v>1</v>
      </c>
      <c r="E10" s="49" t="s">
        <v>2</v>
      </c>
      <c r="F10" s="49" t="s">
        <v>3</v>
      </c>
      <c r="G10" s="12"/>
      <c r="H10" s="75" t="s">
        <v>7</v>
      </c>
      <c r="I10" s="75"/>
      <c r="J10" s="75" t="s">
        <v>12</v>
      </c>
      <c r="K10" s="75"/>
      <c r="L10" s="12"/>
      <c r="M10" s="12"/>
      <c r="N10" s="12"/>
      <c r="O10" s="12"/>
      <c r="P10" s="12"/>
      <c r="R10" s="17"/>
      <c r="AA10" s="28"/>
      <c r="AB10" s="29" t="s">
        <v>34</v>
      </c>
      <c r="AC10" s="29" t="s">
        <v>35</v>
      </c>
      <c r="AD10" s="29" t="s">
        <v>35</v>
      </c>
      <c r="AE10" s="29" t="s">
        <v>35</v>
      </c>
      <c r="AF10" s="29" t="s">
        <v>35</v>
      </c>
      <c r="AG10" s="29" t="s">
        <v>35</v>
      </c>
      <c r="AH10" s="29" t="s">
        <v>35</v>
      </c>
      <c r="AI10" s="29" t="s">
        <v>35</v>
      </c>
      <c r="AJ10" s="29" t="s">
        <v>35</v>
      </c>
    </row>
    <row r="11" spans="1:60" ht="15" thickBot="1" x14ac:dyDescent="0.4">
      <c r="A11" s="12"/>
      <c r="B11" s="12"/>
      <c r="C11" s="50">
        <v>10</v>
      </c>
      <c r="D11" s="50">
        <v>99</v>
      </c>
      <c r="E11" s="50">
        <v>2</v>
      </c>
      <c r="F11" s="50">
        <v>0.01</v>
      </c>
      <c r="G11" s="12"/>
      <c r="H11" s="74">
        <v>10</v>
      </c>
      <c r="I11" s="74"/>
      <c r="J11" s="60">
        <v>0.03</v>
      </c>
      <c r="K11" s="60"/>
      <c r="L11" s="12"/>
      <c r="M11" s="12"/>
      <c r="N11" s="12"/>
      <c r="O11" s="12"/>
      <c r="P11" s="12"/>
      <c r="R11" s="17" t="s">
        <v>23</v>
      </c>
      <c r="AA11" s="28"/>
      <c r="AC11" s="61" t="s">
        <v>28</v>
      </c>
      <c r="AD11" s="62"/>
      <c r="AE11" s="62"/>
      <c r="AF11" s="62"/>
      <c r="AG11" s="62"/>
      <c r="AH11" s="62"/>
      <c r="AI11" s="62"/>
      <c r="AJ11" s="63"/>
      <c r="AK11" s="57" t="s">
        <v>27</v>
      </c>
      <c r="AL11" s="58"/>
      <c r="AM11" s="58"/>
      <c r="AN11" s="58"/>
      <c r="AO11" s="58"/>
      <c r="AP11" s="58"/>
      <c r="AQ11" s="58"/>
      <c r="AR11" s="64"/>
      <c r="AS11" s="54" t="s">
        <v>0</v>
      </c>
      <c r="AT11" s="55"/>
      <c r="AU11" s="55"/>
      <c r="AV11" s="55"/>
      <c r="AW11" s="55"/>
      <c r="AX11" s="55"/>
      <c r="AY11" s="55"/>
      <c r="AZ11" s="56"/>
      <c r="BA11" s="57" t="s">
        <v>1</v>
      </c>
      <c r="BB11" s="58"/>
      <c r="BC11" s="58"/>
      <c r="BD11" s="58"/>
      <c r="BE11" s="58"/>
      <c r="BF11" s="58"/>
      <c r="BG11" s="58"/>
      <c r="BH11" s="59"/>
    </row>
    <row r="12" spans="1:60" x14ac:dyDescent="0.35">
      <c r="A12" s="12"/>
      <c r="B12" s="12"/>
      <c r="C12" s="50">
        <v>100</v>
      </c>
      <c r="D12" s="50">
        <v>199</v>
      </c>
      <c r="E12" s="50">
        <v>3</v>
      </c>
      <c r="F12" s="50">
        <v>0.01</v>
      </c>
      <c r="G12" s="12"/>
      <c r="H12" s="12"/>
      <c r="I12" s="12"/>
      <c r="J12" s="12"/>
      <c r="K12" s="12"/>
      <c r="L12" s="12"/>
      <c r="M12" s="12"/>
      <c r="N12" s="12"/>
      <c r="O12" s="12"/>
      <c r="P12" s="12"/>
      <c r="R12" s="17" t="s">
        <v>36</v>
      </c>
      <c r="AA12" s="28"/>
      <c r="AC12" s="42">
        <v>2</v>
      </c>
      <c r="AD12" s="43">
        <v>2</v>
      </c>
      <c r="AE12" s="43">
        <v>3</v>
      </c>
      <c r="AF12" s="43">
        <v>7</v>
      </c>
      <c r="AG12" s="43">
        <v>2</v>
      </c>
      <c r="AH12" s="43">
        <v>2</v>
      </c>
      <c r="AI12" s="43">
        <v>2</v>
      </c>
      <c r="AJ12" s="43">
        <v>2</v>
      </c>
      <c r="AK12" s="45">
        <v>0.01</v>
      </c>
      <c r="AL12" s="43">
        <v>0.01</v>
      </c>
      <c r="AM12" s="43">
        <v>0.01</v>
      </c>
      <c r="AN12" s="43">
        <v>0.01</v>
      </c>
      <c r="AO12" s="43">
        <v>0.01</v>
      </c>
      <c r="AP12" s="43">
        <v>0.01</v>
      </c>
      <c r="AQ12" s="43">
        <v>0.01</v>
      </c>
      <c r="AR12" s="46">
        <v>0.01</v>
      </c>
      <c r="AS12" s="42">
        <v>1</v>
      </c>
      <c r="AT12" s="43">
        <v>10</v>
      </c>
      <c r="AU12" s="43">
        <v>1</v>
      </c>
      <c r="AV12" s="43">
        <v>1</v>
      </c>
      <c r="AW12" s="43">
        <v>1</v>
      </c>
      <c r="AX12" s="43">
        <v>1</v>
      </c>
      <c r="AY12" s="43">
        <v>1</v>
      </c>
      <c r="AZ12" s="43">
        <v>10</v>
      </c>
      <c r="BA12" s="45">
        <v>99</v>
      </c>
      <c r="BB12" s="43">
        <v>99</v>
      </c>
      <c r="BC12" s="43">
        <v>99</v>
      </c>
      <c r="BD12" s="43">
        <v>99</v>
      </c>
      <c r="BE12" s="43">
        <v>99</v>
      </c>
      <c r="BF12" s="43">
        <v>99</v>
      </c>
      <c r="BG12" s="43">
        <v>99</v>
      </c>
      <c r="BH12" s="46">
        <v>99</v>
      </c>
    </row>
    <row r="13" spans="1:60" x14ac:dyDescent="0.35">
      <c r="A13" s="12"/>
      <c r="B13" s="12"/>
      <c r="C13" s="50">
        <v>200</v>
      </c>
      <c r="D13" s="50">
        <v>299</v>
      </c>
      <c r="E13" s="50">
        <v>3</v>
      </c>
      <c r="F13" s="50">
        <v>0.01</v>
      </c>
      <c r="G13" s="12"/>
      <c r="H13" s="12"/>
      <c r="I13" s="12"/>
      <c r="J13" s="12"/>
      <c r="K13" s="12"/>
      <c r="L13" s="12"/>
      <c r="M13" s="12"/>
      <c r="N13" s="12"/>
      <c r="O13" s="12"/>
      <c r="P13" s="12"/>
      <c r="R13" s="17"/>
      <c r="AA13" s="28"/>
      <c r="AC13" s="31">
        <v>3</v>
      </c>
      <c r="AD13" s="1">
        <v>2</v>
      </c>
      <c r="AE13" s="1">
        <v>4</v>
      </c>
      <c r="AF13" s="1">
        <v>8</v>
      </c>
      <c r="AG13" s="1">
        <v>2</v>
      </c>
      <c r="AH13" s="1">
        <v>3</v>
      </c>
      <c r="AI13" s="1">
        <v>3</v>
      </c>
      <c r="AJ13" s="1">
        <v>3</v>
      </c>
      <c r="AK13" s="35">
        <v>0.01</v>
      </c>
      <c r="AL13" s="1">
        <v>0.01</v>
      </c>
      <c r="AM13" s="1">
        <v>0.01</v>
      </c>
      <c r="AN13" s="1">
        <v>0.01</v>
      </c>
      <c r="AO13" s="1">
        <v>0.01</v>
      </c>
      <c r="AP13" s="1">
        <v>0.01</v>
      </c>
      <c r="AQ13" s="1">
        <v>0.01</v>
      </c>
      <c r="AR13" s="40">
        <v>0.01</v>
      </c>
      <c r="AS13" s="31">
        <v>100</v>
      </c>
      <c r="AT13" s="1">
        <v>100</v>
      </c>
      <c r="AU13" s="1">
        <v>100</v>
      </c>
      <c r="AV13" s="1">
        <v>100</v>
      </c>
      <c r="AW13" s="1">
        <v>100</v>
      </c>
      <c r="AX13" s="1">
        <v>100</v>
      </c>
      <c r="AY13" s="1">
        <v>100</v>
      </c>
      <c r="AZ13" s="1">
        <v>100</v>
      </c>
      <c r="BA13" s="35">
        <v>199</v>
      </c>
      <c r="BB13" s="1">
        <v>199</v>
      </c>
      <c r="BC13" s="1">
        <v>199</v>
      </c>
      <c r="BD13" s="1">
        <v>199</v>
      </c>
      <c r="BE13" s="1">
        <v>199</v>
      </c>
      <c r="BF13" s="1">
        <v>199</v>
      </c>
      <c r="BG13" s="1">
        <v>199</v>
      </c>
      <c r="BH13" s="40">
        <v>199</v>
      </c>
    </row>
    <row r="14" spans="1:60" x14ac:dyDescent="0.35">
      <c r="A14" s="12"/>
      <c r="B14" s="12"/>
      <c r="C14" s="50">
        <v>300</v>
      </c>
      <c r="D14" s="50">
        <v>399</v>
      </c>
      <c r="E14" s="50">
        <v>4</v>
      </c>
      <c r="F14" s="50">
        <v>0.02</v>
      </c>
      <c r="G14" s="12"/>
      <c r="H14" s="12"/>
      <c r="I14" s="12"/>
      <c r="J14" s="12"/>
      <c r="K14" s="12"/>
      <c r="L14" s="12"/>
      <c r="M14" s="12"/>
      <c r="N14" s="12"/>
      <c r="O14" s="12"/>
      <c r="P14" s="12"/>
      <c r="R14" s="17"/>
      <c r="AA14" s="28"/>
      <c r="AC14" s="31">
        <v>3</v>
      </c>
      <c r="AD14" s="1">
        <v>3</v>
      </c>
      <c r="AE14" s="1">
        <v>4</v>
      </c>
      <c r="AF14" s="1">
        <v>8</v>
      </c>
      <c r="AG14" s="1">
        <v>2</v>
      </c>
      <c r="AH14" s="1">
        <v>4</v>
      </c>
      <c r="AI14" s="1">
        <v>3</v>
      </c>
      <c r="AJ14" s="1">
        <v>3</v>
      </c>
      <c r="AK14" s="35">
        <v>0.01</v>
      </c>
      <c r="AL14" s="1">
        <v>0.01</v>
      </c>
      <c r="AM14" s="1">
        <v>0.01</v>
      </c>
      <c r="AN14" s="1">
        <v>0.01</v>
      </c>
      <c r="AO14" s="1">
        <v>0.01</v>
      </c>
      <c r="AP14" s="1">
        <v>0.01</v>
      </c>
      <c r="AQ14" s="1">
        <v>0.01</v>
      </c>
      <c r="AR14" s="40">
        <v>0.01</v>
      </c>
      <c r="AS14" s="31">
        <v>200</v>
      </c>
      <c r="AT14" s="1">
        <v>200</v>
      </c>
      <c r="AU14" s="1">
        <v>200</v>
      </c>
      <c r="AV14" s="1">
        <v>200</v>
      </c>
      <c r="AW14" s="1">
        <v>200</v>
      </c>
      <c r="AX14" s="1">
        <v>200</v>
      </c>
      <c r="AY14" s="1">
        <v>200</v>
      </c>
      <c r="AZ14" s="1">
        <v>200</v>
      </c>
      <c r="BA14" s="35">
        <v>299</v>
      </c>
      <c r="BB14" s="1">
        <v>299</v>
      </c>
      <c r="BC14" s="1">
        <v>299</v>
      </c>
      <c r="BD14" s="1">
        <v>299</v>
      </c>
      <c r="BE14" s="1">
        <v>299</v>
      </c>
      <c r="BF14" s="1">
        <v>299</v>
      </c>
      <c r="BG14" s="1">
        <v>299</v>
      </c>
      <c r="BH14" s="40">
        <v>299</v>
      </c>
    </row>
    <row r="15" spans="1:60" x14ac:dyDescent="0.35">
      <c r="A15" s="12"/>
      <c r="B15" s="12"/>
      <c r="C15" s="50">
        <v>400</v>
      </c>
      <c r="D15" s="50">
        <v>449</v>
      </c>
      <c r="E15" s="50">
        <v>4</v>
      </c>
      <c r="F15" s="50">
        <v>0.02</v>
      </c>
      <c r="G15" s="12"/>
      <c r="H15" s="2" t="s">
        <v>8</v>
      </c>
      <c r="I15" s="3"/>
      <c r="J15" s="3"/>
      <c r="K15" s="4"/>
      <c r="L15" s="12"/>
      <c r="M15" s="12"/>
      <c r="N15" s="12"/>
      <c r="O15" s="12"/>
      <c r="P15" s="12"/>
      <c r="AA15" s="28"/>
      <c r="AC15" s="31">
        <v>4</v>
      </c>
      <c r="AD15" s="1">
        <v>3</v>
      </c>
      <c r="AE15" s="1">
        <v>5</v>
      </c>
      <c r="AF15" s="1">
        <v>8</v>
      </c>
      <c r="AG15" s="1">
        <v>3</v>
      </c>
      <c r="AH15" s="1">
        <v>4</v>
      </c>
      <c r="AI15" s="1">
        <v>4</v>
      </c>
      <c r="AJ15" s="1">
        <v>4</v>
      </c>
      <c r="AK15" s="35">
        <v>0.02</v>
      </c>
      <c r="AL15" s="1">
        <v>0.01</v>
      </c>
      <c r="AM15" s="1">
        <v>0.02</v>
      </c>
      <c r="AN15" s="1">
        <v>0.02</v>
      </c>
      <c r="AO15" s="1">
        <v>0.02</v>
      </c>
      <c r="AP15" s="1">
        <v>0.02</v>
      </c>
      <c r="AQ15" s="1">
        <v>0.02</v>
      </c>
      <c r="AR15" s="40">
        <v>0.02</v>
      </c>
      <c r="AS15" s="31">
        <v>300</v>
      </c>
      <c r="AT15" s="1">
        <v>300</v>
      </c>
      <c r="AU15" s="1">
        <v>300</v>
      </c>
      <c r="AV15" s="1">
        <v>300</v>
      </c>
      <c r="AW15" s="1">
        <v>300</v>
      </c>
      <c r="AX15" s="1">
        <v>300</v>
      </c>
      <c r="AY15" s="1">
        <v>300</v>
      </c>
      <c r="AZ15" s="1">
        <v>300</v>
      </c>
      <c r="BA15" s="35">
        <v>399</v>
      </c>
      <c r="BB15" s="1">
        <v>399</v>
      </c>
      <c r="BC15" s="1">
        <v>399</v>
      </c>
      <c r="BD15" s="1">
        <v>399</v>
      </c>
      <c r="BE15" s="1">
        <v>399</v>
      </c>
      <c r="BF15" s="1">
        <v>399</v>
      </c>
      <c r="BG15" s="1">
        <v>399</v>
      </c>
      <c r="BH15" s="40">
        <v>399</v>
      </c>
    </row>
    <row r="16" spans="1:60" x14ac:dyDescent="0.35">
      <c r="A16" s="12"/>
      <c r="B16" s="12"/>
      <c r="C16" s="50">
        <v>450</v>
      </c>
      <c r="D16" s="50">
        <v>499</v>
      </c>
      <c r="E16" s="50">
        <v>4</v>
      </c>
      <c r="F16" s="50">
        <v>0.02</v>
      </c>
      <c r="G16" s="12"/>
      <c r="H16" s="75" t="s">
        <v>9</v>
      </c>
      <c r="I16" s="75"/>
      <c r="J16" s="74">
        <v>5</v>
      </c>
      <c r="K16" s="74"/>
      <c r="L16" s="12"/>
      <c r="M16" s="12"/>
      <c r="N16" s="12"/>
      <c r="O16" s="12"/>
      <c r="P16" s="12"/>
      <c r="AA16" s="28"/>
      <c r="AC16" s="31">
        <v>4</v>
      </c>
      <c r="AD16" s="1">
        <v>4</v>
      </c>
      <c r="AE16" s="1">
        <v>5</v>
      </c>
      <c r="AF16" s="1">
        <v>8</v>
      </c>
      <c r="AG16" s="1">
        <v>3</v>
      </c>
      <c r="AH16" s="1">
        <v>4</v>
      </c>
      <c r="AI16" s="1">
        <v>4</v>
      </c>
      <c r="AJ16" s="1">
        <v>4</v>
      </c>
      <c r="AK16" s="35">
        <v>0.02</v>
      </c>
      <c r="AL16" s="1">
        <v>0.01</v>
      </c>
      <c r="AM16" s="1">
        <v>0.02</v>
      </c>
      <c r="AN16" s="1">
        <v>0.02</v>
      </c>
      <c r="AO16" s="1">
        <v>0.02</v>
      </c>
      <c r="AP16" s="1">
        <v>0.02</v>
      </c>
      <c r="AQ16" s="1">
        <v>0.02</v>
      </c>
      <c r="AR16" s="40">
        <v>0.02</v>
      </c>
      <c r="AS16" s="31">
        <v>400</v>
      </c>
      <c r="AT16" s="1">
        <v>400</v>
      </c>
      <c r="AU16" s="1">
        <v>400</v>
      </c>
      <c r="AV16" s="1">
        <v>400</v>
      </c>
      <c r="AW16" s="1">
        <v>400</v>
      </c>
      <c r="AX16" s="1">
        <v>400</v>
      </c>
      <c r="AY16" s="1">
        <v>400</v>
      </c>
      <c r="AZ16" s="1">
        <v>400</v>
      </c>
      <c r="BA16" s="35">
        <v>449</v>
      </c>
      <c r="BB16" s="1">
        <v>449</v>
      </c>
      <c r="BC16" s="1">
        <v>449</v>
      </c>
      <c r="BD16" s="1">
        <v>449</v>
      </c>
      <c r="BE16" s="1">
        <v>449</v>
      </c>
      <c r="BF16" s="1">
        <v>449</v>
      </c>
      <c r="BG16" s="1">
        <v>449</v>
      </c>
      <c r="BH16" s="40">
        <v>449</v>
      </c>
    </row>
    <row r="17" spans="1:60" x14ac:dyDescent="0.35">
      <c r="A17" s="12"/>
      <c r="B17" s="12"/>
      <c r="C17" s="50">
        <v>500</v>
      </c>
      <c r="D17" s="50">
        <v>599</v>
      </c>
      <c r="E17" s="50">
        <v>4</v>
      </c>
      <c r="F17" s="50">
        <v>0.03</v>
      </c>
      <c r="G17" s="12"/>
      <c r="H17" s="75" t="s">
        <v>11</v>
      </c>
      <c r="I17" s="75"/>
      <c r="J17" s="1">
        <v>0.01</v>
      </c>
      <c r="K17" s="1">
        <v>0.02</v>
      </c>
      <c r="L17" s="12"/>
      <c r="M17" s="12"/>
      <c r="N17" s="12"/>
      <c r="O17" s="12"/>
      <c r="P17" s="12"/>
      <c r="AA17" s="28"/>
      <c r="AC17" s="31">
        <v>4</v>
      </c>
      <c r="AD17" s="1">
        <v>4</v>
      </c>
      <c r="AE17" s="1">
        <v>5</v>
      </c>
      <c r="AF17" s="1">
        <v>9</v>
      </c>
      <c r="AG17" s="1">
        <v>4</v>
      </c>
      <c r="AH17" s="1">
        <v>4</v>
      </c>
      <c r="AI17" s="1">
        <v>5</v>
      </c>
      <c r="AJ17" s="1">
        <v>4</v>
      </c>
      <c r="AK17" s="35">
        <v>0.02</v>
      </c>
      <c r="AL17" s="1">
        <v>0.01</v>
      </c>
      <c r="AM17" s="1">
        <v>0.02</v>
      </c>
      <c r="AN17" s="1">
        <v>0.02</v>
      </c>
      <c r="AO17" s="1">
        <v>0.02</v>
      </c>
      <c r="AP17" s="1">
        <v>0.02</v>
      </c>
      <c r="AQ17" s="1">
        <v>0.02</v>
      </c>
      <c r="AR17" s="40">
        <v>0.02</v>
      </c>
      <c r="AS17" s="31">
        <v>450</v>
      </c>
      <c r="AT17" s="1">
        <v>450</v>
      </c>
      <c r="AU17" s="1">
        <v>450</v>
      </c>
      <c r="AV17" s="1">
        <v>450</v>
      </c>
      <c r="AW17" s="1">
        <v>450</v>
      </c>
      <c r="AX17" s="1">
        <v>450</v>
      </c>
      <c r="AY17" s="1">
        <v>450</v>
      </c>
      <c r="AZ17" s="1">
        <v>450</v>
      </c>
      <c r="BA17" s="35">
        <v>499</v>
      </c>
      <c r="BB17" s="1">
        <v>499</v>
      </c>
      <c r="BC17" s="1">
        <v>499</v>
      </c>
      <c r="BD17" s="1">
        <v>499</v>
      </c>
      <c r="BE17" s="1">
        <v>499</v>
      </c>
      <c r="BF17" s="1">
        <v>499</v>
      </c>
      <c r="BG17" s="1">
        <v>499</v>
      </c>
      <c r="BH17" s="40">
        <v>499</v>
      </c>
    </row>
    <row r="18" spans="1:60" x14ac:dyDescent="0.35">
      <c r="A18" s="12"/>
      <c r="B18" s="12"/>
      <c r="C18" s="50">
        <v>600</v>
      </c>
      <c r="D18" s="50">
        <v>699</v>
      </c>
      <c r="E18" s="50">
        <v>4</v>
      </c>
      <c r="F18" s="50">
        <v>0.03</v>
      </c>
      <c r="G18" s="12"/>
      <c r="H18" s="75" t="s">
        <v>10</v>
      </c>
      <c r="I18" s="75"/>
      <c r="J18" s="1">
        <v>0.01</v>
      </c>
      <c r="K18" s="1">
        <v>39.99</v>
      </c>
      <c r="L18" s="12"/>
      <c r="M18" s="12"/>
      <c r="N18" s="12"/>
      <c r="O18" s="12"/>
      <c r="P18" s="12"/>
      <c r="AA18" s="28"/>
      <c r="AC18" s="31">
        <v>4</v>
      </c>
      <c r="AD18" s="1">
        <v>5</v>
      </c>
      <c r="AE18" s="1">
        <v>5</v>
      </c>
      <c r="AF18" s="1">
        <v>9</v>
      </c>
      <c r="AG18" s="1">
        <v>4</v>
      </c>
      <c r="AH18" s="1">
        <v>5</v>
      </c>
      <c r="AI18" s="1">
        <v>5</v>
      </c>
      <c r="AJ18" s="1">
        <v>4</v>
      </c>
      <c r="AK18" s="35">
        <v>0.03</v>
      </c>
      <c r="AL18" s="1">
        <v>0.01</v>
      </c>
      <c r="AM18" s="1">
        <v>0.03</v>
      </c>
      <c r="AN18" s="1">
        <v>0.03</v>
      </c>
      <c r="AO18" s="1">
        <v>0.03</v>
      </c>
      <c r="AP18" s="1">
        <v>0.03</v>
      </c>
      <c r="AQ18" s="1">
        <v>0.03</v>
      </c>
      <c r="AR18" s="40">
        <v>0.03</v>
      </c>
      <c r="AS18" s="31">
        <v>500</v>
      </c>
      <c r="AT18" s="1">
        <v>500</v>
      </c>
      <c r="AU18" s="1">
        <v>500</v>
      </c>
      <c r="AV18" s="1">
        <v>500</v>
      </c>
      <c r="AW18" s="1">
        <v>500</v>
      </c>
      <c r="AX18" s="1">
        <v>500</v>
      </c>
      <c r="AY18" s="1">
        <v>500</v>
      </c>
      <c r="AZ18" s="1">
        <v>500</v>
      </c>
      <c r="BA18" s="35">
        <v>599</v>
      </c>
      <c r="BB18" s="1">
        <v>599</v>
      </c>
      <c r="BC18" s="1">
        <v>599</v>
      </c>
      <c r="BD18" s="1">
        <v>599</v>
      </c>
      <c r="BE18" s="1">
        <v>599</v>
      </c>
      <c r="BF18" s="1">
        <v>599</v>
      </c>
      <c r="BG18" s="1">
        <v>599</v>
      </c>
      <c r="BH18" s="40">
        <v>599</v>
      </c>
    </row>
    <row r="19" spans="1:60" x14ac:dyDescent="0.35">
      <c r="A19" s="12"/>
      <c r="B19" s="12"/>
      <c r="C19" s="50">
        <v>700</v>
      </c>
      <c r="D19" s="50">
        <v>799</v>
      </c>
      <c r="E19" s="50">
        <v>5</v>
      </c>
      <c r="F19" s="50">
        <v>0.03</v>
      </c>
      <c r="G19" s="12"/>
      <c r="H19" s="75" t="s">
        <v>34</v>
      </c>
      <c r="I19" s="75"/>
      <c r="J19" s="74" t="s">
        <v>35</v>
      </c>
      <c r="K19" s="74"/>
      <c r="L19" s="12"/>
      <c r="M19" s="12"/>
      <c r="N19" s="12"/>
      <c r="O19" s="12"/>
      <c r="P19" s="12"/>
      <c r="AA19" s="28"/>
      <c r="AC19" s="31">
        <v>4</v>
      </c>
      <c r="AD19" s="1">
        <v>5</v>
      </c>
      <c r="AE19" s="1">
        <v>5</v>
      </c>
      <c r="AF19" s="1">
        <v>9</v>
      </c>
      <c r="AG19" s="1">
        <v>4</v>
      </c>
      <c r="AH19" s="1">
        <v>5</v>
      </c>
      <c r="AI19" s="1">
        <v>5</v>
      </c>
      <c r="AJ19" s="1">
        <v>4</v>
      </c>
      <c r="AK19" s="35">
        <v>0.03</v>
      </c>
      <c r="AL19" s="1">
        <v>0.01</v>
      </c>
      <c r="AM19" s="1">
        <v>0.03</v>
      </c>
      <c r="AN19" s="1">
        <v>0.03</v>
      </c>
      <c r="AO19" s="1">
        <v>0.03</v>
      </c>
      <c r="AP19" s="1">
        <v>0.03</v>
      </c>
      <c r="AQ19" s="1">
        <v>0.03</v>
      </c>
      <c r="AR19" s="40">
        <v>0.03</v>
      </c>
      <c r="AS19" s="31">
        <v>600</v>
      </c>
      <c r="AT19" s="1">
        <v>600</v>
      </c>
      <c r="AU19" s="1">
        <v>600</v>
      </c>
      <c r="AV19" s="1">
        <v>600</v>
      </c>
      <c r="AW19" s="1">
        <v>600</v>
      </c>
      <c r="AX19" s="1">
        <v>600</v>
      </c>
      <c r="AY19" s="1">
        <v>600</v>
      </c>
      <c r="AZ19" s="1">
        <v>600</v>
      </c>
      <c r="BA19" s="35">
        <v>699</v>
      </c>
      <c r="BB19" s="1">
        <v>699</v>
      </c>
      <c r="BC19" s="1">
        <v>699</v>
      </c>
      <c r="BD19" s="1">
        <v>699</v>
      </c>
      <c r="BE19" s="1">
        <v>699</v>
      </c>
      <c r="BF19" s="1">
        <v>699</v>
      </c>
      <c r="BG19" s="1">
        <v>699</v>
      </c>
      <c r="BH19" s="40">
        <v>699</v>
      </c>
    </row>
    <row r="20" spans="1:60" x14ac:dyDescent="0.35">
      <c r="A20" s="12"/>
      <c r="B20" s="12"/>
      <c r="C20" s="50">
        <v>800</v>
      </c>
      <c r="D20" s="50" t="s">
        <v>4</v>
      </c>
      <c r="E20" s="50">
        <v>5</v>
      </c>
      <c r="F20" s="50">
        <v>0.03</v>
      </c>
      <c r="G20" s="12"/>
      <c r="H20" s="12"/>
      <c r="I20" s="12"/>
      <c r="J20" s="12"/>
      <c r="K20" s="12"/>
      <c r="L20" s="12"/>
      <c r="M20" s="12"/>
      <c r="N20" s="12"/>
      <c r="O20" s="12"/>
      <c r="P20" s="12"/>
      <c r="AA20" s="28"/>
      <c r="AC20" s="31">
        <v>5</v>
      </c>
      <c r="AD20" s="1">
        <v>6</v>
      </c>
      <c r="AE20" s="1">
        <v>6</v>
      </c>
      <c r="AF20" s="1">
        <v>10</v>
      </c>
      <c r="AG20" s="1">
        <v>5</v>
      </c>
      <c r="AH20" s="1">
        <v>5</v>
      </c>
      <c r="AI20" s="1">
        <v>5</v>
      </c>
      <c r="AJ20" s="1">
        <v>5</v>
      </c>
      <c r="AK20" s="35">
        <v>0.03</v>
      </c>
      <c r="AL20" s="1">
        <v>0.01</v>
      </c>
      <c r="AM20" s="1">
        <v>0.03</v>
      </c>
      <c r="AN20" s="1">
        <v>0.03</v>
      </c>
      <c r="AO20" s="1">
        <v>0.03</v>
      </c>
      <c r="AP20" s="1">
        <v>0.03</v>
      </c>
      <c r="AQ20" s="1">
        <v>0.03</v>
      </c>
      <c r="AR20" s="40">
        <v>0.03</v>
      </c>
      <c r="AS20" s="31">
        <v>700</v>
      </c>
      <c r="AT20" s="1">
        <v>700</v>
      </c>
      <c r="AU20" s="1">
        <v>700</v>
      </c>
      <c r="AV20" s="1">
        <v>700</v>
      </c>
      <c r="AW20" s="1">
        <v>700</v>
      </c>
      <c r="AX20" s="1">
        <v>700</v>
      </c>
      <c r="AY20" s="1">
        <v>700</v>
      </c>
      <c r="AZ20" s="1">
        <v>700</v>
      </c>
      <c r="BA20" s="35">
        <v>799</v>
      </c>
      <c r="BB20" s="1">
        <v>799</v>
      </c>
      <c r="BC20" s="1">
        <v>799</v>
      </c>
      <c r="BD20" s="1">
        <v>799</v>
      </c>
      <c r="BE20" s="1">
        <v>799</v>
      </c>
      <c r="BF20" s="1">
        <v>799</v>
      </c>
      <c r="BG20" s="1">
        <v>799</v>
      </c>
      <c r="BH20" s="40">
        <v>799</v>
      </c>
    </row>
    <row r="21" spans="1:60" x14ac:dyDescent="0.35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AA21" s="28"/>
      <c r="AC21" s="31">
        <v>5</v>
      </c>
      <c r="AD21" s="1">
        <v>7</v>
      </c>
      <c r="AE21" s="1">
        <v>6</v>
      </c>
      <c r="AF21" s="1">
        <v>10</v>
      </c>
      <c r="AG21" s="1">
        <v>5</v>
      </c>
      <c r="AH21" s="1">
        <v>6</v>
      </c>
      <c r="AI21" s="1">
        <v>6</v>
      </c>
      <c r="AJ21" s="1">
        <v>5</v>
      </c>
      <c r="AK21" s="35">
        <v>0.03</v>
      </c>
      <c r="AL21" s="1">
        <v>0.01</v>
      </c>
      <c r="AM21" s="1">
        <v>0.03</v>
      </c>
      <c r="AN21" s="1">
        <v>0.03</v>
      </c>
      <c r="AO21" s="1">
        <v>0.03</v>
      </c>
      <c r="AP21" s="1">
        <v>0.03</v>
      </c>
      <c r="AQ21" s="1">
        <v>0.03</v>
      </c>
      <c r="AR21" s="40">
        <v>0.03</v>
      </c>
      <c r="AS21" s="31">
        <v>800</v>
      </c>
      <c r="AT21" s="1">
        <v>800</v>
      </c>
      <c r="AU21" s="1">
        <v>800</v>
      </c>
      <c r="AV21" s="1">
        <v>800</v>
      </c>
      <c r="AW21" s="1">
        <v>800</v>
      </c>
      <c r="AX21" s="1">
        <v>800</v>
      </c>
      <c r="AY21" s="1">
        <v>800</v>
      </c>
      <c r="AZ21" s="1">
        <v>800</v>
      </c>
      <c r="BA21" s="35" t="s">
        <v>4</v>
      </c>
      <c r="BB21" s="1" t="s">
        <v>4</v>
      </c>
      <c r="BC21" s="1" t="s">
        <v>4</v>
      </c>
      <c r="BD21" s="1" t="s">
        <v>4</v>
      </c>
      <c r="BE21" s="1" t="s">
        <v>4</v>
      </c>
      <c r="BF21" s="1" t="s">
        <v>4</v>
      </c>
      <c r="BG21" s="1" t="s">
        <v>4</v>
      </c>
      <c r="BH21" s="40" t="s">
        <v>4</v>
      </c>
    </row>
    <row r="22" spans="1:60" ht="15" thickBot="1" x14ac:dyDescent="0.4">
      <c r="A22" s="12"/>
      <c r="B22" s="12"/>
      <c r="C22" s="51" t="s">
        <v>6</v>
      </c>
      <c r="D22" s="51"/>
      <c r="E22" s="66" t="s">
        <v>33</v>
      </c>
      <c r="F22" s="66"/>
      <c r="G22" s="12"/>
      <c r="H22" s="12"/>
      <c r="I22" s="12"/>
      <c r="J22" s="12"/>
      <c r="K22" s="12"/>
      <c r="L22" s="12"/>
      <c r="M22" s="12"/>
      <c r="N22" s="12"/>
      <c r="O22" s="12"/>
      <c r="P22" s="12"/>
      <c r="AA22" s="28"/>
      <c r="AC22" s="32" t="str">
        <f t="shared" ref="AC22:AJ22" si="1">AC1</f>
        <v>Manual</v>
      </c>
      <c r="AD22" s="33" t="str">
        <f t="shared" si="1"/>
        <v>Auto</v>
      </c>
      <c r="AE22" s="33" t="str">
        <f t="shared" si="1"/>
        <v>Video</v>
      </c>
      <c r="AF22" s="33" t="str">
        <f t="shared" si="1"/>
        <v>Headline</v>
      </c>
      <c r="AG22" s="33" t="str">
        <f t="shared" si="1"/>
        <v>ASIN SD</v>
      </c>
      <c r="AH22" s="33" t="str">
        <f t="shared" si="1"/>
        <v>ASIN Video</v>
      </c>
      <c r="AI22" s="33" t="str">
        <f t="shared" si="1"/>
        <v>ASIN Headline</v>
      </c>
      <c r="AJ22" s="34" t="str">
        <f t="shared" si="1"/>
        <v>ASIN SP</v>
      </c>
      <c r="AK22" s="36" t="str">
        <f>AC22</f>
        <v>Manual</v>
      </c>
      <c r="AL22" s="33" t="str">
        <f t="shared" ref="AL22:AR22" si="2">AD22</f>
        <v>Auto</v>
      </c>
      <c r="AM22" s="33" t="str">
        <f t="shared" si="2"/>
        <v>Video</v>
      </c>
      <c r="AN22" s="33" t="str">
        <f t="shared" si="2"/>
        <v>Headline</v>
      </c>
      <c r="AO22" s="33" t="str">
        <f t="shared" si="2"/>
        <v>ASIN SD</v>
      </c>
      <c r="AP22" s="33" t="str">
        <f t="shared" si="2"/>
        <v>ASIN Video</v>
      </c>
      <c r="AQ22" s="33" t="str">
        <f t="shared" si="2"/>
        <v>ASIN Headline</v>
      </c>
      <c r="AR22" s="41" t="str">
        <f t="shared" si="2"/>
        <v>ASIN SP</v>
      </c>
      <c r="AS22" s="32" t="str">
        <f>AC22</f>
        <v>Manual</v>
      </c>
      <c r="AT22" s="32" t="str">
        <f t="shared" ref="AT22:BH22" si="3">AD22</f>
        <v>Auto</v>
      </c>
      <c r="AU22" s="32" t="str">
        <f t="shared" si="3"/>
        <v>Video</v>
      </c>
      <c r="AV22" s="32" t="str">
        <f t="shared" si="3"/>
        <v>Headline</v>
      </c>
      <c r="AW22" s="32" t="str">
        <f t="shared" si="3"/>
        <v>ASIN SD</v>
      </c>
      <c r="AX22" s="32" t="str">
        <f t="shared" si="3"/>
        <v>ASIN Video</v>
      </c>
      <c r="AY22" s="32" t="str">
        <f t="shared" si="3"/>
        <v>ASIN Headline</v>
      </c>
      <c r="AZ22" s="32" t="str">
        <f t="shared" si="3"/>
        <v>ASIN SP</v>
      </c>
      <c r="BA22" s="32" t="str">
        <f t="shared" si="3"/>
        <v>Manual</v>
      </c>
      <c r="BB22" s="32" t="str">
        <f t="shared" si="3"/>
        <v>Auto</v>
      </c>
      <c r="BC22" s="32" t="str">
        <f t="shared" si="3"/>
        <v>Video</v>
      </c>
      <c r="BD22" s="32" t="str">
        <f t="shared" si="3"/>
        <v>Headline</v>
      </c>
      <c r="BE22" s="32" t="str">
        <f t="shared" si="3"/>
        <v>ASIN SD</v>
      </c>
      <c r="BF22" s="32" t="str">
        <f t="shared" si="3"/>
        <v>ASIN Video</v>
      </c>
      <c r="BG22" s="32" t="str">
        <f t="shared" si="3"/>
        <v>ASIN Headline</v>
      </c>
      <c r="BH22" s="32" t="str">
        <f t="shared" si="3"/>
        <v>ASIN SP</v>
      </c>
    </row>
    <row r="23" spans="1:60" x14ac:dyDescent="0.35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AA23" s="28"/>
    </row>
    <row r="24" spans="1:60" x14ac:dyDescent="0.35">
      <c r="A24" s="12"/>
      <c r="B24" s="12"/>
      <c r="C24" s="52" t="str">
        <f>IF(ISERROR(LOOKUP(H11,C11:C20)),"There is no rule in bid decrese for least impression value, Please update the ""Bid Decrese"" table","")</f>
        <v/>
      </c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AA24" s="28"/>
    </row>
    <row r="25" spans="1:60" x14ac:dyDescent="0.35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AA25" s="28"/>
    </row>
  </sheetData>
  <mergeCells count="21">
    <mergeCell ref="R1:Z1"/>
    <mergeCell ref="E22:F22"/>
    <mergeCell ref="C3:M3"/>
    <mergeCell ref="C4:M4"/>
    <mergeCell ref="C6:M6"/>
    <mergeCell ref="C7:M7"/>
    <mergeCell ref="C9:F9"/>
    <mergeCell ref="H11:I11"/>
    <mergeCell ref="H10:I10"/>
    <mergeCell ref="H16:I16"/>
    <mergeCell ref="J16:K16"/>
    <mergeCell ref="H17:I17"/>
    <mergeCell ref="H18:I18"/>
    <mergeCell ref="J10:K10"/>
    <mergeCell ref="H19:I19"/>
    <mergeCell ref="J19:K19"/>
    <mergeCell ref="AS11:AZ11"/>
    <mergeCell ref="BA11:BH11"/>
    <mergeCell ref="J11:K11"/>
    <mergeCell ref="AC11:AJ11"/>
    <mergeCell ref="AK11:AR11"/>
  </mergeCells>
  <conditionalFormatting sqref="E11:E20">
    <cfRule type="expression" dxfId="1" priority="2">
      <formula>$E$22="By Percentage"</formula>
    </cfRule>
  </conditionalFormatting>
  <conditionalFormatting sqref="F11:F20">
    <cfRule type="expression" dxfId="0" priority="1">
      <formula>$E$22="By Amount"</formula>
    </cfRule>
  </conditionalFormatting>
  <dataValidations count="2">
    <dataValidation type="list" allowBlank="1" showInputMessage="1" showErrorMessage="1" sqref="E22:F22" xr:uid="{00000000-0002-0000-0300-000000000000}">
      <formula1>"BY Percentage,By Amount"</formula1>
    </dataValidation>
    <dataValidation type="list" allowBlank="1" showInputMessage="1" showErrorMessage="1" sqref="J19:K19" xr:uid="{00000000-0002-0000-0300-000001000000}">
      <formula1>"Yes, No"</formula1>
    </dataValidation>
  </dataValidations>
  <pageMargins left="0.7" right="0.7" top="0.75" bottom="0.75" header="0.3" footer="0.3"/>
  <pageSetup orientation="portrait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A1"/>
  <sheetViews>
    <sheetView topLeftCell="R1" workbookViewId="0">
      <selection sqref="A1:AR4419"/>
    </sheetView>
  </sheetViews>
  <sheetFormatPr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"/>
  <sheetViews>
    <sheetView workbookViewId="0">
      <selection sqref="A1:AX19657"/>
    </sheetView>
  </sheetViews>
  <sheetFormatPr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0000"/>
  </sheetPr>
  <dimension ref="A1"/>
  <sheetViews>
    <sheetView workbookViewId="0">
      <selection sqref="A1:AO29"/>
    </sheetView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C000"/>
  </sheetPr>
  <dimension ref="A1"/>
  <sheetViews>
    <sheetView workbookViewId="0">
      <selection sqref="A1:AR10362"/>
    </sheetView>
  </sheetViews>
  <sheetFormatPr defaultRowHeight="14.5" x14ac:dyDescent="0.3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C000"/>
  </sheetPr>
  <dimension ref="A1"/>
  <sheetViews>
    <sheetView workbookViewId="0">
      <selection sqref="A1:AX23215"/>
    </sheetView>
  </sheetViews>
  <sheetFormatPr defaultRowHeight="14.5" x14ac:dyDescent="0.3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C000"/>
  </sheetPr>
  <dimension ref="A1"/>
  <sheetViews>
    <sheetView workbookViewId="0">
      <selection sqref="A1:AO29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Yesterday</vt:lpstr>
      <vt:lpstr>60 Days</vt:lpstr>
      <vt:lpstr>Final</vt:lpstr>
      <vt:lpstr>Dashboard</vt:lpstr>
      <vt:lpstr>Y_SP</vt:lpstr>
      <vt:lpstr>Y_SB</vt:lpstr>
      <vt:lpstr>Y_SD</vt:lpstr>
      <vt:lpstr>60_SP</vt:lpstr>
      <vt:lpstr>60_SB</vt:lpstr>
      <vt:lpstr>60_SD</vt:lpstr>
      <vt:lpstr>regg1</vt:lpstr>
      <vt:lpstr>regg2</vt:lpstr>
      <vt:lpstr>Regg3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nadir2k</cp:lastModifiedBy>
  <dcterms:created xsi:type="dcterms:W3CDTF">2022-08-30T07:56:28Z</dcterms:created>
  <dcterms:modified xsi:type="dcterms:W3CDTF">2023-04-05T18:23:50Z</dcterms:modified>
</cp:coreProperties>
</file>